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980" yWindow="1815" windowWidth="26490" windowHeight="18465" tabRatio="600" firstSheet="0" activeTab="0" autoFilterDateGrouping="1"/>
  </bookViews>
  <sheets>
    <sheet xmlns:r="http://schemas.openxmlformats.org/officeDocument/2006/relationships" name="機械査定" sheetId="1" state="visible" r:id="rId1"/>
  </sheets>
  <definedNames>
    <definedName name="_xlnm.Print_Area" localSheetId="0">'機械査定'!$A$1:$F$55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\¥#,##0"/>
    <numFmt numFmtId="165" formatCode="&quot;¥&quot;#,##0;&quot;¥&quot;\-#,##0"/>
  </numFmts>
  <fonts count="8">
    <font>
      <name val="Carlito"/>
      <sz val="11"/>
    </font>
    <font>
      <name val="Carlito"/>
      <b val="1"/>
      <sz val="11"/>
    </font>
    <font>
      <name val="Carlito"/>
      <i val="1"/>
      <color rgb="FF666666"/>
      <sz val="11"/>
    </font>
    <font>
      <name val="Carlito"/>
      <sz val="11"/>
    </font>
    <font>
      <name val="ＭＳ Ｐゴシック"/>
      <charset val="128"/>
      <family val="3"/>
      <sz val="6"/>
    </font>
    <font>
      <name val="ＭＳ Ｐゴシック"/>
      <charset val="128"/>
      <family val="3"/>
      <sz val="11"/>
    </font>
    <font>
      <name val="Calibri"/>
      <family val="2"/>
      <color theme="10"/>
      <sz val="12"/>
      <scheme val="minor"/>
    </font>
    <font>
      <name val="Calibri"/>
      <family val="2"/>
      <color rgb="000563C1"/>
      <sz val="12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F3F4F6"/>
      </patternFill>
    </fill>
    <fill>
      <patternFill patternType="solid">
        <fgColor theme="3" tint="0.249946592608417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3" fillId="0" borderId="0"/>
    <xf numFmtId="0" fontId="3" fillId="0" borderId="0"/>
    <xf numFmtId="0" fontId="6" fillId="0" borderId="0"/>
  </cellStyleXfs>
  <cellXfs count="20">
    <xf numFmtId="0" fontId="0" fillId="0" borderId="0" pivotButton="0" quotePrefix="0" xfId="0"/>
    <xf numFmtId="0" fontId="1" fillId="3" borderId="0" applyAlignment="1" pivotButton="0" quotePrefix="0" xfId="1">
      <alignment horizontal="center" vertical="center"/>
    </xf>
    <xf numFmtId="0" fontId="1" fillId="0" borderId="0" applyAlignment="1" pivotButton="0" quotePrefix="0" xfId="1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0" fillId="0" borderId="0" applyAlignment="1" pivotButton="0" quotePrefix="0" xfId="1">
      <alignment horizontal="center" vertical="center"/>
    </xf>
    <xf numFmtId="0" fontId="0" fillId="0" borderId="0" applyAlignment="1" pivotButton="0" quotePrefix="0" xfId="1">
      <alignment vertical="center" wrapText="1"/>
    </xf>
    <xf numFmtId="164" fontId="0" fillId="0" borderId="0" applyAlignment="1" pivotButton="0" quotePrefix="0" xfId="1">
      <alignment vertical="center"/>
    </xf>
    <xf numFmtId="0" fontId="0" fillId="0" borderId="0" applyAlignment="1" pivotButton="0" quotePrefix="0" xfId="0">
      <alignment horizontal="right" vertical="center"/>
    </xf>
    <xf numFmtId="0" fontId="5" fillId="0" borderId="0" applyAlignment="1" pivotButton="0" quotePrefix="0" xfId="1">
      <alignment vertical="center" wrapText="1"/>
    </xf>
    <xf numFmtId="165" fontId="0" fillId="0" borderId="0" applyAlignment="1" pivotButton="0" quotePrefix="0" xfId="1">
      <alignment vertical="center"/>
    </xf>
    <xf numFmtId="0" fontId="1" fillId="2" borderId="1" applyAlignment="1" pivotButton="0" quotePrefix="0" xfId="1">
      <alignment vertical="center"/>
    </xf>
    <xf numFmtId="0" fontId="1" fillId="2" borderId="2" applyAlignment="1" pivotButton="0" quotePrefix="0" xfId="1">
      <alignment vertical="center"/>
    </xf>
    <xf numFmtId="164" fontId="1" fillId="2" borderId="2" applyAlignment="1" pivotButton="0" quotePrefix="0" xfId="1">
      <alignment vertical="center"/>
    </xf>
    <xf numFmtId="0" fontId="1" fillId="2" borderId="3" applyAlignment="1" pivotButton="0" quotePrefix="0" xfId="1">
      <alignment vertical="center"/>
    </xf>
    <xf numFmtId="0" fontId="0" fillId="0" borderId="0" applyAlignment="1" pivotButton="0" quotePrefix="0" xfId="1">
      <alignment vertical="center"/>
    </xf>
    <xf numFmtId="0" fontId="7" fillId="0" borderId="0" pivotButton="0" quotePrefix="0" xfId="2"/>
    <xf numFmtId="164" fontId="0" fillId="0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164" fontId="1" fillId="2" borderId="2" applyAlignment="1" pivotButton="0" quotePrefix="0" xfId="1">
      <alignment vertical="center"/>
    </xf>
  </cellXfs>
  <cellStyles count="3">
    <cellStyle name="標準" xfId="0" builtinId="0"/>
    <cellStyle name="Normal" xfId="1"/>
    <cellStyle name="Hyperlink" xfId="2" builtinId="8" hidden="0"/>
  </cellStyles>
  <dxfs count="9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fgColor indexed="64"/>
          <bgColor theme="3" tint="0.249946592608417"/>
        </patternFill>
      </fill>
      <alignment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achineAppraisalTable" displayName="MachineAppraisalTable" ref="A4:F52" headerRowCount="1" headerRowDxfId="8" dataDxfId="7" totalsRowDxfId="6">
  <tableColumns count="6">
    <tableColumn id="1" name="No." dataDxfId="5"/>
    <tableColumn id="2" name="機械名及び型式" dataDxfId="4"/>
    <tableColumn id="3" name="台数" dataDxfId="3"/>
    <tableColumn id="4" name="査定金額" dataDxfId="2"/>
    <tableColumn id="5" name="買取価格" dataDxfId="1"/>
    <tableColumn id="6" name="備考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&#20889;&#30495;/1.jpg" TargetMode="External" Id="rId1"/><Relationship Type="http://schemas.openxmlformats.org/officeDocument/2006/relationships/hyperlink" Target="&#20889;&#30495;/2.jpg" TargetMode="External" Id="rId2"/><Relationship Type="http://schemas.openxmlformats.org/officeDocument/2006/relationships/hyperlink" Target="&#20889;&#30495;/3.jpg" TargetMode="External" Id="rId3"/><Relationship Type="http://schemas.openxmlformats.org/officeDocument/2006/relationships/hyperlink" Target="&#20889;&#30495;/4.jpg" TargetMode="External" Id="rId4"/><Relationship Type="http://schemas.openxmlformats.org/officeDocument/2006/relationships/hyperlink" Target="&#20889;&#30495;/5.jpg" TargetMode="External" Id="rId5"/><Relationship Type="http://schemas.openxmlformats.org/officeDocument/2006/relationships/hyperlink" Target="&#20889;&#30495;/6.jpg" TargetMode="External" Id="rId6"/><Relationship Type="http://schemas.openxmlformats.org/officeDocument/2006/relationships/hyperlink" Target="&#20889;&#30495;/7.jpg" TargetMode="External" Id="rId7"/><Relationship Type="http://schemas.openxmlformats.org/officeDocument/2006/relationships/hyperlink" Target="&#20889;&#30495;/8.jpg" TargetMode="External" Id="rId8"/><Relationship Type="http://schemas.openxmlformats.org/officeDocument/2006/relationships/hyperlink" Target="&#20889;&#30495;/9.jpg" TargetMode="External" Id="rId9"/><Relationship Type="http://schemas.openxmlformats.org/officeDocument/2006/relationships/hyperlink" Target="&#20889;&#30495;/10.jpg" TargetMode="External" Id="rId10"/><Relationship Type="http://schemas.openxmlformats.org/officeDocument/2006/relationships/hyperlink" Target="&#20889;&#30495;/11.jpg" TargetMode="External" Id="rId11"/><Relationship Type="http://schemas.openxmlformats.org/officeDocument/2006/relationships/hyperlink" Target="&#20889;&#30495;/12.jpg" TargetMode="External" Id="rId12"/><Relationship Type="http://schemas.openxmlformats.org/officeDocument/2006/relationships/hyperlink" Target="&#20889;&#30495;/13.jpg" TargetMode="External" Id="rId13"/><Relationship Type="http://schemas.openxmlformats.org/officeDocument/2006/relationships/hyperlink" Target="&#20889;&#30495;/14.jpg" TargetMode="External" Id="rId14"/><Relationship Type="http://schemas.openxmlformats.org/officeDocument/2006/relationships/hyperlink" Target="&#20889;&#30495;/15.jpg" TargetMode="External" Id="rId15"/><Relationship Type="http://schemas.openxmlformats.org/officeDocument/2006/relationships/hyperlink" Target="&#20889;&#30495;/16.jpg" TargetMode="External" Id="rId16"/><Relationship Type="http://schemas.openxmlformats.org/officeDocument/2006/relationships/hyperlink" Target="&#20889;&#30495;/17.jpg" TargetMode="External" Id="rId17"/><Relationship Type="http://schemas.openxmlformats.org/officeDocument/2006/relationships/hyperlink" Target="&#20889;&#30495;/18.jpg" TargetMode="External" Id="rId18"/><Relationship Type="http://schemas.openxmlformats.org/officeDocument/2006/relationships/hyperlink" Target="&#20889;&#30495;/19.jpg" TargetMode="External" Id="rId19"/><Relationship Type="http://schemas.openxmlformats.org/officeDocument/2006/relationships/hyperlink" Target="&#20889;&#30495;/20.jpg" TargetMode="External" Id="rId20"/><Relationship Type="http://schemas.openxmlformats.org/officeDocument/2006/relationships/hyperlink" Target="&#20889;&#30495;/21.jpg" TargetMode="External" Id="rId21"/><Relationship Type="http://schemas.openxmlformats.org/officeDocument/2006/relationships/hyperlink" Target="&#20889;&#30495;/22.jpg" TargetMode="External" Id="rId22"/><Relationship Type="http://schemas.openxmlformats.org/officeDocument/2006/relationships/hyperlink" Target="&#20889;&#30495;/23.jpg" TargetMode="External" Id="rId23"/><Relationship Type="http://schemas.openxmlformats.org/officeDocument/2006/relationships/hyperlink" Target="&#20889;&#30495;/24.jpg" TargetMode="External" Id="rId24"/><Relationship Type="http://schemas.openxmlformats.org/officeDocument/2006/relationships/hyperlink" Target="&#20889;&#30495;/25.jpg" TargetMode="External" Id="rId25"/><Relationship Type="http://schemas.openxmlformats.org/officeDocument/2006/relationships/hyperlink" Target="&#20889;&#30495;/26.jpg" TargetMode="External" Id="rId26"/><Relationship Type="http://schemas.openxmlformats.org/officeDocument/2006/relationships/hyperlink" Target="&#20889;&#30495;/27.jpg" TargetMode="External" Id="rId27"/><Relationship Type="http://schemas.openxmlformats.org/officeDocument/2006/relationships/hyperlink" Target="&#20889;&#30495;/28.jpg" TargetMode="External" Id="rId28"/><Relationship Type="http://schemas.openxmlformats.org/officeDocument/2006/relationships/hyperlink" Target="&#20889;&#30495;/29.jpg" TargetMode="External" Id="rId29"/><Relationship Type="http://schemas.openxmlformats.org/officeDocument/2006/relationships/hyperlink" Target="&#20889;&#30495;/30.jpg" TargetMode="External" Id="rId30"/><Relationship Type="http://schemas.openxmlformats.org/officeDocument/2006/relationships/hyperlink" Target="&#20889;&#30495;/31.jpg" TargetMode="External" Id="rId31"/><Relationship Type="http://schemas.openxmlformats.org/officeDocument/2006/relationships/hyperlink" Target="&#20889;&#30495;/32.jpg" TargetMode="External" Id="rId32"/><Relationship Type="http://schemas.openxmlformats.org/officeDocument/2006/relationships/hyperlink" Target="&#20889;&#30495;/33.jpg" TargetMode="External" Id="rId33"/><Relationship Type="http://schemas.openxmlformats.org/officeDocument/2006/relationships/hyperlink" Target="&#20889;&#30495;/34.jpg" TargetMode="External" Id="rId34"/><Relationship Type="http://schemas.openxmlformats.org/officeDocument/2006/relationships/hyperlink" Target="&#20889;&#30495;/35.jpg" TargetMode="External" Id="rId35"/><Relationship Type="http://schemas.openxmlformats.org/officeDocument/2006/relationships/hyperlink" Target="&#20889;&#30495;/36.jpg" TargetMode="External" Id="rId36"/><Relationship Type="http://schemas.openxmlformats.org/officeDocument/2006/relationships/hyperlink" Target="&#20889;&#30495;/37.jpg" TargetMode="External" Id="rId37"/><Relationship Type="http://schemas.openxmlformats.org/officeDocument/2006/relationships/hyperlink" Target="&#20889;&#30495;/38.jpg" TargetMode="External" Id="rId38"/><Relationship Type="http://schemas.openxmlformats.org/officeDocument/2006/relationships/hyperlink" Target="&#20889;&#30495;/39.jpg" TargetMode="External" Id="rId39"/><Relationship Type="http://schemas.openxmlformats.org/officeDocument/2006/relationships/hyperlink" Target="&#20889;&#30495;/40.jpg" TargetMode="External" Id="rId40"/><Relationship Type="http://schemas.openxmlformats.org/officeDocument/2006/relationships/hyperlink" Target="&#20889;&#30495;/41.jpg" TargetMode="External" Id="rId41"/><Relationship Type="http://schemas.openxmlformats.org/officeDocument/2006/relationships/hyperlink" Target="&#20889;&#30495;/42.jpg" TargetMode="External" Id="rId42"/><Relationship Type="http://schemas.openxmlformats.org/officeDocument/2006/relationships/hyperlink" Target="&#20889;&#30495;/43.jpg" TargetMode="External" Id="rId43"/><Relationship Type="http://schemas.openxmlformats.org/officeDocument/2006/relationships/table" Target="/xl/tables/table1.xml" Id="rId4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5"/>
  <sheetViews>
    <sheetView tabSelected="1" workbookViewId="0">
      <selection activeCell="N51" sqref="N51"/>
    </sheetView>
  </sheetViews>
  <sheetFormatPr baseColWidth="8" defaultRowHeight="14.25"/>
  <cols>
    <col width="8" customWidth="1" min="1" max="1"/>
    <col width="56" customWidth="1" min="2" max="2"/>
    <col width="8" customWidth="1" min="3" max="3"/>
    <col width="15" customWidth="1" min="4" max="5"/>
    <col width="14" customWidth="1" min="6" max="6"/>
  </cols>
  <sheetData>
    <row r="1" ht="15" customHeight="1">
      <c r="A1" s="2" t="inlineStr">
        <is>
          <t>機械査定</t>
        </is>
      </c>
      <c r="B1" s="2" t="n"/>
      <c r="C1" s="2" t="n"/>
      <c r="D1" s="2" t="n"/>
      <c r="E1" s="2" t="n"/>
      <c r="F1" s="2" t="n"/>
    </row>
    <row r="2">
      <c r="A2" s="3" t="inlineStr">
        <is>
          <t>（有）河津内装　殿</t>
        </is>
      </c>
      <c r="B2" s="3" t="n"/>
      <c r="C2" s="3" t="n"/>
      <c r="D2" s="3" t="inlineStr">
        <is>
          <t>2026年6月29日</t>
        </is>
      </c>
      <c r="E2" s="3" t="n"/>
      <c r="F2" s="3" t="n"/>
    </row>
    <row r="3">
      <c r="A3" s="4" t="inlineStr">
        <is>
          <t>PDFの印刷部分のみ転記（手書きは未反映）</t>
        </is>
      </c>
      <c r="B3" s="3" t="n"/>
      <c r="C3" s="3" t="n"/>
      <c r="D3" s="3" t="n"/>
      <c r="E3" s="3" t="n"/>
      <c r="F3" s="3" t="n"/>
    </row>
    <row r="4" ht="15" customHeight="1">
      <c r="A4" s="1" t="inlineStr">
        <is>
          <t>No.</t>
        </is>
      </c>
      <c r="B4" s="1" t="inlineStr">
        <is>
          <t>機械名及び型式</t>
        </is>
      </c>
      <c r="C4" s="1" t="inlineStr">
        <is>
          <t>台数</t>
        </is>
      </c>
      <c r="D4" s="1" t="inlineStr">
        <is>
          <t>査定金額</t>
        </is>
      </c>
      <c r="E4" s="1" t="inlineStr">
        <is>
          <t>買取価格</t>
        </is>
      </c>
      <c r="F4" s="1" t="inlineStr">
        <is>
          <t>備考</t>
        </is>
      </c>
    </row>
    <row r="5" ht="20.1" customHeight="1">
      <c r="A5" s="5" t="n">
        <v>1</v>
      </c>
      <c r="B5" s="16" t="inlineStr">
        <is>
          <t>糊付け機　MV32　ムラカミ製</t>
        </is>
      </c>
      <c r="C5" s="5" t="n">
        <v>1</v>
      </c>
      <c r="D5" s="17" t="n"/>
      <c r="E5" s="17" t="n"/>
      <c r="F5" s="8" t="n"/>
    </row>
    <row r="6" ht="20.1" customHeight="1">
      <c r="A6" s="5" t="n">
        <v>2</v>
      </c>
      <c r="B6" s="16" t="inlineStr">
        <is>
          <t>自動プレス　AS-6　4尺×5040mm(8枚定盤)</t>
        </is>
      </c>
      <c r="C6" s="5" t="n">
        <v>1</v>
      </c>
      <c r="D6" s="17" t="n"/>
      <c r="E6" s="17" t="n"/>
      <c r="F6" s="8" t="n"/>
    </row>
    <row r="7" ht="20.1" customHeight="1">
      <c r="A7" s="5" t="n">
        <v>3</v>
      </c>
      <c r="B7" s="16" t="inlineStr">
        <is>
          <t>ランニングソー　4m(幅)×1200mm(奥)　シンクス製</t>
        </is>
      </c>
      <c r="C7" s="5" t="n">
        <v>1</v>
      </c>
      <c r="D7" s="17" t="n"/>
      <c r="E7" s="17" t="n"/>
      <c r="F7" s="8" t="n"/>
    </row>
    <row r="8" ht="20.1" customHeight="1">
      <c r="A8" s="5" t="n">
        <v>4</v>
      </c>
      <c r="B8" s="16" t="inlineStr">
        <is>
          <t>昇降盤　マーキュリー</t>
        </is>
      </c>
      <c r="C8" s="5" t="n">
        <v>1</v>
      </c>
      <c r="D8" s="17" t="n"/>
      <c r="E8" s="17" t="n"/>
      <c r="F8" s="8" t="n"/>
    </row>
    <row r="9" ht="20.1" customHeight="1">
      <c r="A9" s="5" t="n">
        <v>5</v>
      </c>
      <c r="B9" s="16" t="inlineStr">
        <is>
          <t>スライドソー　JUNO1600　LAZZARI製</t>
        </is>
      </c>
      <c r="C9" s="5" t="n">
        <v>1</v>
      </c>
      <c r="D9" s="17" t="n"/>
      <c r="E9" s="17" t="n"/>
      <c r="F9" s="8" t="n"/>
    </row>
    <row r="10" ht="20.1" customHeight="1">
      <c r="A10" s="5" t="n">
        <v>6</v>
      </c>
      <c r="B10" s="16" t="inlineStr">
        <is>
          <t>軸傾斜横切り盤　KS-T1300FS　桑原製</t>
        </is>
      </c>
      <c r="C10" s="5" t="n">
        <v>1</v>
      </c>
      <c r="D10" s="17" t="n"/>
      <c r="E10" s="17" t="n"/>
      <c r="F10" s="8" t="n"/>
    </row>
    <row r="11" ht="20.1" customHeight="1">
      <c r="A11" s="5" t="n">
        <v>7</v>
      </c>
      <c r="B11" s="16" t="inlineStr">
        <is>
          <t>軸傾斜横切り盤　KS-T1300FS　桑原製</t>
        </is>
      </c>
      <c r="C11" s="5" t="n">
        <v>1</v>
      </c>
      <c r="D11" s="17" t="n"/>
      <c r="E11" s="17" t="n"/>
      <c r="F11" s="8" t="n"/>
    </row>
    <row r="12" ht="20.1" customHeight="1">
      <c r="A12" s="5" t="n">
        <v>8</v>
      </c>
      <c r="B12" s="16" t="inlineStr">
        <is>
          <t>軸傾斜昇降盤　OLIVER4040</t>
        </is>
      </c>
      <c r="C12" s="5" t="n">
        <v>1</v>
      </c>
      <c r="D12" s="17" t="n"/>
      <c r="E12" s="17" t="n"/>
      <c r="F12" s="8" t="n"/>
    </row>
    <row r="13" ht="20.1" customHeight="1">
      <c r="A13" s="5" t="n">
        <v>9</v>
      </c>
      <c r="B13" s="16" t="inlineStr">
        <is>
          <t>手押しガンナ(エンシン)　AU12DX　愛知電機</t>
        </is>
      </c>
      <c r="C13" s="5" t="n">
        <v>1</v>
      </c>
      <c r="D13" s="17" t="n"/>
      <c r="E13" s="17" t="n"/>
      <c r="F13" s="8" t="n"/>
    </row>
    <row r="14" ht="20.1" customHeight="1">
      <c r="A14" s="5" t="n">
        <v>10</v>
      </c>
      <c r="B14" s="16" t="inlineStr">
        <is>
          <t>自動ガンナ(エンシン)　GN-45　鈴三製</t>
        </is>
      </c>
      <c r="C14" s="5" t="n">
        <v>1</v>
      </c>
      <c r="D14" s="17" t="n"/>
      <c r="E14" s="17" t="n"/>
      <c r="F14" s="8" t="n"/>
    </row>
    <row r="15" ht="20.1" customHeight="1">
      <c r="A15" s="5" t="n">
        <v>11</v>
      </c>
      <c r="B15" s="16" t="inlineStr">
        <is>
          <t>全自動プレス　FT4(4尺×8尺)　横井製</t>
        </is>
      </c>
      <c r="C15" s="5" t="n">
        <v>1</v>
      </c>
      <c r="D15" s="17" t="n"/>
      <c r="E15" s="17" t="n"/>
      <c r="F15" s="8" t="n"/>
    </row>
    <row r="16" ht="20.1" customHeight="1">
      <c r="A16" s="5" t="n">
        <v>12</v>
      </c>
      <c r="B16" s="16" t="inlineStr">
        <is>
          <t>全自動プレス　FT4(4尺×8尺)　横井製</t>
        </is>
      </c>
      <c r="C16" s="5" t="n">
        <v>1</v>
      </c>
      <c r="D16" s="17" t="n"/>
      <c r="E16" s="17" t="n"/>
      <c r="F16" s="8" t="n"/>
    </row>
    <row r="17" ht="20.1" customHeight="1">
      <c r="A17" s="5" t="n">
        <v>13</v>
      </c>
      <c r="B17" s="16" t="inlineStr">
        <is>
          <t>高周波接着機　BONDEX-8R(4尺幅)　山本ビニター製</t>
        </is>
      </c>
      <c r="C17" s="5" t="n">
        <v>1</v>
      </c>
      <c r="D17" s="17" t="n"/>
      <c r="E17" s="17" t="n"/>
      <c r="F17" s="8" t="n"/>
    </row>
    <row r="18" ht="20.1" customHeight="1">
      <c r="A18" s="5" t="n">
        <v>14</v>
      </c>
      <c r="B18" s="16" t="inlineStr">
        <is>
          <t>縁貼り機　SPRINT1310　ホルツ製</t>
        </is>
      </c>
      <c r="C18" s="5" t="n">
        <v>1</v>
      </c>
      <c r="D18" s="17" t="n"/>
      <c r="E18" s="17" t="n"/>
      <c r="F18" s="8" t="n"/>
    </row>
    <row r="19" ht="20.1" customHeight="1">
      <c r="A19" s="5" t="n">
        <v>15</v>
      </c>
      <c r="B19" s="16" t="inlineStr">
        <is>
          <t>汎用ボーリング機　DOWLEX21 CC30</t>
        </is>
      </c>
      <c r="C19" s="5" t="n">
        <v>1</v>
      </c>
      <c r="D19" s="17" t="n"/>
      <c r="E19" s="17" t="n"/>
      <c r="F19" s="8" t="n"/>
    </row>
    <row r="20" ht="20.1" customHeight="1">
      <c r="A20" s="5" t="n">
        <v>16</v>
      </c>
      <c r="B20" s="16" t="inlineStr">
        <is>
          <t>自動ガンナ　SP-200　yuki製</t>
        </is>
      </c>
      <c r="C20" s="5" t="n">
        <v>1</v>
      </c>
      <c r="D20" s="17" t="n"/>
      <c r="E20" s="17" t="n"/>
      <c r="F20" s="8" t="n"/>
    </row>
    <row r="21" ht="20.1" customHeight="1">
      <c r="A21" s="5" t="n">
        <v>17</v>
      </c>
      <c r="B21" s="16" t="inlineStr">
        <is>
          <t>ペティワーク　AL300　協和製</t>
        </is>
      </c>
      <c r="C21" s="5" t="n">
        <v>6</v>
      </c>
      <c r="D21" s="17" t="n"/>
      <c r="E21" s="17" t="n"/>
      <c r="F21" s="8" t="n"/>
    </row>
    <row r="22" ht="20.1" customHeight="1">
      <c r="A22" s="5" t="n">
        <v>18</v>
      </c>
      <c r="B22" s="16" t="inlineStr">
        <is>
          <t>エッジフォーマ　MEF-380N　新前田製</t>
        </is>
      </c>
      <c r="C22" s="5" t="n">
        <v>1</v>
      </c>
      <c r="D22" s="17" t="n"/>
      <c r="E22" s="17" t="n"/>
      <c r="F22" s="8" t="n"/>
    </row>
    <row r="23" ht="20.1" customHeight="1">
      <c r="A23" s="5" t="n">
        <v>19</v>
      </c>
      <c r="B23" s="16" t="inlineStr">
        <is>
          <t>面取り機　SM123G　庄田製</t>
        </is>
      </c>
      <c r="C23" s="5" t="n">
        <v>1</v>
      </c>
      <c r="D23" s="17" t="n"/>
      <c r="E23" s="17" t="n"/>
      <c r="F23" s="8" t="n"/>
    </row>
    <row r="24" ht="20.1" customHeight="1">
      <c r="A24" s="5" t="n">
        <v>20</v>
      </c>
      <c r="B24" s="16" t="inlineStr">
        <is>
          <t>テノーナ　KMW6-1200　カミヤ製</t>
        </is>
      </c>
      <c r="C24" s="5" t="n">
        <v>1</v>
      </c>
      <c r="D24" s="17" t="n"/>
      <c r="E24" s="17" t="n"/>
      <c r="F24" s="8" t="n"/>
    </row>
    <row r="25" ht="20.1" customHeight="1">
      <c r="A25" s="5" t="n">
        <v>21</v>
      </c>
      <c r="B25" s="16" t="inlineStr">
        <is>
          <t>角のみ　C-TYPE　奥村製</t>
        </is>
      </c>
      <c r="C25" s="5" t="n">
        <v>1</v>
      </c>
      <c r="D25" s="17" t="n"/>
      <c r="E25" s="17" t="n"/>
      <c r="F25" s="8" t="n"/>
    </row>
    <row r="26" ht="20.1" customHeight="1">
      <c r="A26" s="5" t="n">
        <v>22</v>
      </c>
      <c r="B26" s="16" t="inlineStr">
        <is>
          <t>サンダー　W-1525-H　小阪製</t>
        </is>
      </c>
      <c r="C26" s="5" t="n">
        <v>1</v>
      </c>
      <c r="D26" s="17" t="n"/>
      <c r="E26" s="17" t="n"/>
      <c r="F26" s="8" t="n"/>
    </row>
    <row r="27" ht="20.1" customHeight="1">
      <c r="A27" s="5" t="n">
        <v>23</v>
      </c>
      <c r="B27" s="16" t="inlineStr">
        <is>
          <t>サンダー　E-600型　小阪製</t>
        </is>
      </c>
      <c r="C27" s="5" t="n">
        <v>1</v>
      </c>
      <c r="D27" s="17" t="n"/>
      <c r="E27" s="17" t="n"/>
      <c r="F27" s="8" t="n"/>
    </row>
    <row r="28" ht="20.1" customHeight="1">
      <c r="A28" s="5" t="n">
        <v>24</v>
      </c>
      <c r="B28" s="16" t="inlineStr">
        <is>
          <t>ボール盤　BEH-360</t>
        </is>
      </c>
      <c r="C28" s="5" t="n">
        <v>1</v>
      </c>
      <c r="D28" s="17" t="n"/>
      <c r="E28" s="17" t="n"/>
      <c r="F28" s="8" t="n"/>
    </row>
    <row r="29" ht="20.1" customHeight="1">
      <c r="A29" s="5" t="n">
        <v>25</v>
      </c>
      <c r="B29" s="16" t="inlineStr">
        <is>
          <t>コンプレッサー　PB-3.7MN6　日立製</t>
        </is>
      </c>
      <c r="C29" s="5" t="n">
        <v>1</v>
      </c>
      <c r="D29" s="17" t="n"/>
      <c r="E29" s="17" t="n"/>
      <c r="F29" s="8" t="n"/>
    </row>
    <row r="30" ht="20.1" customHeight="1">
      <c r="A30" s="5" t="n">
        <v>26</v>
      </c>
      <c r="B30" s="16" t="inlineStr">
        <is>
          <t>ドライヤー　RDA-37E</t>
        </is>
      </c>
      <c r="C30" s="5" t="n">
        <v>1</v>
      </c>
      <c r="D30" s="17" t="n"/>
      <c r="E30" s="17" t="n"/>
      <c r="F30" s="8" t="n"/>
    </row>
    <row r="31" ht="20.1" customHeight="1">
      <c r="A31" s="5" t="n">
        <v>27</v>
      </c>
      <c r="B31" s="16" t="inlineStr">
        <is>
          <t>NCルータ　唐津鉄工製</t>
        </is>
      </c>
      <c r="C31" s="5" t="n">
        <v>1</v>
      </c>
      <c r="D31" s="17" t="n"/>
      <c r="E31" s="17" t="n"/>
      <c r="F31" s="8" t="n"/>
    </row>
    <row r="32" ht="20.1" customHeight="1">
      <c r="A32" s="5" t="n">
        <v>28</v>
      </c>
      <c r="B32" s="16" t="inlineStr">
        <is>
          <t>NCルータ　20Z 4×8尺　シンクス製</t>
        </is>
      </c>
      <c r="C32" s="5" t="n">
        <v>1</v>
      </c>
      <c r="D32" s="17" t="n"/>
      <c r="E32" s="17" t="n"/>
      <c r="F32" s="8" t="n"/>
    </row>
    <row r="33" ht="20.1" customHeight="1">
      <c r="A33" s="5" t="n">
        <v>29</v>
      </c>
      <c r="B33" s="16" t="inlineStr">
        <is>
          <t>テーブルリフター　1m×2m</t>
        </is>
      </c>
      <c r="C33" s="5" t="n">
        <v>1</v>
      </c>
      <c r="D33" s="17" t="n"/>
      <c r="E33" s="17" t="n"/>
      <c r="F33" s="8" t="n"/>
    </row>
    <row r="34" ht="20.1" customHeight="1">
      <c r="A34" s="5" t="n">
        <v>30</v>
      </c>
      <c r="B34" s="16" t="inlineStr">
        <is>
          <t>リップソー　KR-30　桑原製</t>
        </is>
      </c>
      <c r="C34" s="5" t="n">
        <v>1</v>
      </c>
      <c r="D34" s="17" t="n"/>
      <c r="E34" s="17" t="n"/>
      <c r="F34" s="8" t="n"/>
    </row>
    <row r="35" ht="20.1" customHeight="1">
      <c r="A35" s="5" t="n">
        <v>31</v>
      </c>
      <c r="B35" s="16" t="inlineStr">
        <is>
          <t>モルダー　プロフィマット22N　ヴァイニッヒ製</t>
        </is>
      </c>
      <c r="C35" s="5" t="n">
        <v>1</v>
      </c>
      <c r="D35" s="17" t="n"/>
      <c r="E35" s="17" t="n"/>
      <c r="F35" s="8" t="n"/>
    </row>
    <row r="36" ht="20.1" customHeight="1">
      <c r="A36" s="5" t="n">
        <v>32</v>
      </c>
      <c r="B36" s="16" t="inlineStr">
        <is>
          <t>手押しガンナ(エンシン)　NKT300　ノダ製</t>
        </is>
      </c>
      <c r="C36" s="5" t="n">
        <v>1</v>
      </c>
      <c r="D36" s="17" t="n"/>
      <c r="E36" s="17" t="n"/>
      <c r="F36" s="8" t="n"/>
    </row>
    <row r="37" ht="20.1" customHeight="1">
      <c r="A37" s="5" t="n">
        <v>33</v>
      </c>
      <c r="B37" s="16" t="inlineStr">
        <is>
          <t>帯鋸盤　B-600A　日立製</t>
        </is>
      </c>
      <c r="C37" s="5" t="n">
        <v>1</v>
      </c>
      <c r="D37" s="17" t="n"/>
      <c r="E37" s="17" t="n"/>
      <c r="F37" s="8" t="n"/>
    </row>
    <row r="38" ht="20.1" customHeight="1">
      <c r="A38" s="5" t="n">
        <v>34</v>
      </c>
      <c r="B38" s="16" t="inlineStr">
        <is>
          <t>ムラ取ガンナ　KPW-350　桑原製</t>
        </is>
      </c>
      <c r="C38" s="5" t="n">
        <v>1</v>
      </c>
      <c r="D38" s="17" t="n"/>
      <c r="E38" s="17" t="n"/>
      <c r="F38" s="8" t="n"/>
    </row>
    <row r="39" ht="20.1" customHeight="1">
      <c r="A39" s="5" t="n">
        <v>35</v>
      </c>
      <c r="B39" s="16" t="inlineStr">
        <is>
          <t>コンプレッサー　3.7kw　日立製</t>
        </is>
      </c>
      <c r="C39" s="5" t="n">
        <v>3</v>
      </c>
      <c r="D39" s="17" t="n"/>
      <c r="E39" s="17" t="n"/>
      <c r="F39" s="8" t="n"/>
    </row>
    <row r="40" ht="20.1" customHeight="1">
      <c r="A40" s="5" t="n">
        <v>36</v>
      </c>
      <c r="B40" s="16" t="inlineStr">
        <is>
          <t>ドライヤー　DRC-4D　明治製</t>
        </is>
      </c>
      <c r="C40" s="5" t="n">
        <v>1</v>
      </c>
      <c r="D40" s="17" t="n"/>
      <c r="E40" s="17" t="n"/>
      <c r="F40" s="8" t="n"/>
    </row>
    <row r="41" ht="20.1" customHeight="1">
      <c r="A41" s="5" t="n">
        <v>37</v>
      </c>
      <c r="B41" s="16" t="inlineStr">
        <is>
          <t>コンプレッサー　1.5kw　岩田製</t>
        </is>
      </c>
      <c r="C41" s="5" t="n">
        <v>1</v>
      </c>
      <c r="D41" s="17" t="n"/>
      <c r="E41" s="17" t="n"/>
      <c r="F41" s="8" t="n"/>
    </row>
    <row r="42" ht="20.1" customHeight="1">
      <c r="A42" s="5" t="n">
        <v>38</v>
      </c>
      <c r="B42" s="16" t="inlineStr">
        <is>
          <t>コンプレッサー　2.2kw　岩田製</t>
        </is>
      </c>
      <c r="C42" s="5" t="n">
        <v>1</v>
      </c>
      <c r="D42" s="17" t="n"/>
      <c r="E42" s="17" t="n"/>
      <c r="F42" s="8" t="n"/>
    </row>
    <row r="43" ht="20.1" customHeight="1">
      <c r="A43" s="5" t="n">
        <v>39</v>
      </c>
      <c r="B43" s="16" t="inlineStr">
        <is>
          <t>超仕上げ機　SK-250A　シンクス製</t>
        </is>
      </c>
      <c r="C43" s="5" t="n">
        <v>1</v>
      </c>
      <c r="D43" s="17" t="n"/>
      <c r="E43" s="17" t="n"/>
      <c r="F43" s="8" t="n"/>
    </row>
    <row r="44" ht="20.1" customHeight="1">
      <c r="A44" s="5" t="n">
        <v>40</v>
      </c>
      <c r="B44" s="16" t="inlineStr">
        <is>
          <t>NCボーリング　1m×2m　シンクス製</t>
        </is>
      </c>
      <c r="C44" s="5" t="n">
        <v>1</v>
      </c>
      <c r="D44" s="17" t="n"/>
      <c r="E44" s="17" t="n"/>
      <c r="F44" s="8" t="n"/>
    </row>
    <row r="45" ht="20.1" customHeight="1">
      <c r="A45" s="5" t="n">
        <v>41</v>
      </c>
      <c r="B45" s="16" t="inlineStr">
        <is>
          <t>糊付機小型</t>
        </is>
      </c>
      <c r="C45" s="5" t="n">
        <v>1</v>
      </c>
      <c r="D45" s="17" t="n"/>
      <c r="E45" s="17" t="n"/>
      <c r="F45" s="8" t="n"/>
    </row>
    <row r="46" ht="20.1" customHeight="1">
      <c r="A46" s="5" t="n">
        <v>42</v>
      </c>
      <c r="B46" s="16" t="inlineStr">
        <is>
          <t>スポットクーラーPromort</t>
        </is>
      </c>
      <c r="C46" s="5" t="n">
        <v>1</v>
      </c>
      <c r="D46" s="17" t="n"/>
      <c r="E46" s="17" t="n"/>
      <c r="F46" s="8" t="n"/>
    </row>
    <row r="47" ht="20.1" customHeight="1">
      <c r="A47" s="5" t="n">
        <v>43</v>
      </c>
      <c r="B47" s="16" t="inlineStr">
        <is>
          <t>マキタ超仕上げ小型LP1802C</t>
        </is>
      </c>
      <c r="C47" s="5" t="n">
        <v>1</v>
      </c>
      <c r="D47" s="17" t="n"/>
      <c r="E47" s="17" t="n"/>
      <c r="F47" s="8" t="n"/>
    </row>
    <row r="48" ht="20.1" customHeight="1">
      <c r="A48" s="5" t="n"/>
      <c r="B48" s="9" t="n"/>
      <c r="C48" s="5" t="n"/>
      <c r="D48" s="17" t="n"/>
      <c r="E48" s="17" t="n"/>
      <c r="F48" s="8" t="n"/>
    </row>
    <row r="49" ht="20.1" customHeight="1">
      <c r="A49" s="5" t="n"/>
      <c r="B49" s="9" t="n"/>
      <c r="C49" s="5" t="n"/>
      <c r="D49" s="17" t="n"/>
      <c r="E49" s="17" t="n"/>
      <c r="F49" s="8" t="n"/>
    </row>
    <row r="50" ht="20.1" customHeight="1">
      <c r="A50" s="5" t="n"/>
      <c r="B50" s="9" t="inlineStr">
        <is>
          <t>トラック、クレーン代</t>
        </is>
      </c>
      <c r="C50" s="5" t="n">
        <v>1</v>
      </c>
      <c r="D50" s="18" t="n"/>
      <c r="E50" s="18" t="n"/>
      <c r="F50" s="8" t="n"/>
    </row>
    <row r="51" ht="20.1" customHeight="1" thickBot="1">
      <c r="A51" s="5" t="n"/>
      <c r="B51" s="9" t="inlineStr">
        <is>
          <t>唐津鐵工NC撤去費用</t>
        </is>
      </c>
      <c r="C51" s="5" t="n">
        <v>1</v>
      </c>
      <c r="D51" s="18" t="n"/>
      <c r="E51" s="18" t="n"/>
      <c r="F51" s="8" t="n"/>
    </row>
    <row r="52" ht="24.95" customHeight="1" thickBot="1">
      <c r="A52" s="11" t="n"/>
      <c r="B52" s="12" t="inlineStr">
        <is>
          <t>合計</t>
        </is>
      </c>
      <c r="C52" s="12" t="n"/>
      <c r="D52" s="19">
        <f>SUM(D5:D51)</f>
        <v/>
      </c>
      <c r="E52" s="19">
        <f>SUM(E5:E51)</f>
        <v/>
      </c>
      <c r="F52" s="14" t="n"/>
    </row>
    <row r="53">
      <c r="A53" s="3" t="n"/>
      <c r="B53" s="3" t="n"/>
      <c r="C53" s="3" t="n"/>
      <c r="D53" s="3" t="n"/>
      <c r="E53" s="3" t="n"/>
      <c r="F53" s="3" t="n"/>
    </row>
    <row r="54" ht="20.1" customHeight="1">
      <c r="A54" s="15" t="n"/>
      <c r="B54" s="6" t="n"/>
      <c r="C54" s="6" t="n"/>
      <c r="D54" s="6" t="n"/>
      <c r="E54" s="6" t="n"/>
      <c r="F54" s="6" t="n"/>
    </row>
    <row r="55" ht="20.1" customHeight="1">
      <c r="A55" s="15" t="n"/>
      <c r="B55" s="6" t="n"/>
      <c r="C55" s="6" t="n"/>
      <c r="D55" s="6" t="n"/>
      <c r="E55" s="6" t="n"/>
      <c r="F55" s="6" t="n"/>
    </row>
  </sheetData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29" r:id="rId25"/>
    <hyperlink xmlns:r="http://schemas.openxmlformats.org/officeDocument/2006/relationships" ref="B30" r:id="rId26"/>
    <hyperlink xmlns:r="http://schemas.openxmlformats.org/officeDocument/2006/relationships" ref="B31" r:id="rId27"/>
    <hyperlink xmlns:r="http://schemas.openxmlformats.org/officeDocument/2006/relationships" ref="B32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8" r:id="rId34"/>
    <hyperlink xmlns:r="http://schemas.openxmlformats.org/officeDocument/2006/relationships" ref="B39" r:id="rId35"/>
    <hyperlink xmlns:r="http://schemas.openxmlformats.org/officeDocument/2006/relationships" ref="B40" r:id="rId36"/>
    <hyperlink xmlns:r="http://schemas.openxmlformats.org/officeDocument/2006/relationships" ref="B41" r:id="rId37"/>
    <hyperlink xmlns:r="http://schemas.openxmlformats.org/officeDocument/2006/relationships" ref="B42" r:id="rId38"/>
    <hyperlink xmlns:r="http://schemas.openxmlformats.org/officeDocument/2006/relationships" ref="B43" r:id="rId39"/>
    <hyperlink xmlns:r="http://schemas.openxmlformats.org/officeDocument/2006/relationships" ref="B44" r:id="rId40"/>
    <hyperlink xmlns:r="http://schemas.openxmlformats.org/officeDocument/2006/relationships" ref="B45" r:id="rId41"/>
    <hyperlink xmlns:r="http://schemas.openxmlformats.org/officeDocument/2006/relationships" ref="B46" r:id="rId42"/>
    <hyperlink xmlns:r="http://schemas.openxmlformats.org/officeDocument/2006/relationships" ref="B47" r:id="rId43"/>
  </hyperlinks>
  <pageMargins left="0.7" right="0.7" top="0.75" bottom="0.75" header="0.3" footer="0.3"/>
  <pageSetup orientation="portrait" paperSize="9" scale="69"/>
  <tableParts count="1">
    <tablePart xmlns:r="http://schemas.openxmlformats.org/officeDocument/2006/relationships" r:id="rId4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2026-06-30T03:58:54Z</dcterms:created>
  <dcterms:modified xmlns:dcterms="http://purl.org/dc/terms/" xmlns:xsi="http://www.w3.org/2001/XMLSchema-instance" xsi:type="dcterms:W3CDTF">2026-06-30T03:58:54Z</dcterms:modified>
  <cp:lastModifiedBy>YUTAKA</cp:lastModifiedBy>
  <cp:lastPrinted>2026-06-29T23:18:39Z</cp:lastPrinted>
</cp:coreProperties>
</file>